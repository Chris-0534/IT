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F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<sst xmlns="http://schemas.openxmlformats.org/spreadsheetml/2006/main" count="45" uniqueCount="44">
  <si>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</si>
  <si>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</si>
  <si>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</si>
  <si>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</si>
  <si>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</si>
  <si>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</si>
  <si>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</si>
  <si>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</si>
  <si>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</si>
  <si>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</si>
  <si>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</si>
  <si>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</si>
  <si>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</si>
  <si>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</si>
  <si>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</si>
  <si>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</si>
  <si>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</si>
  <si>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</si>
  <si>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</si>
  <si>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</si>
  <si>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</si>
  <si>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</si>
  <si>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</si>
  <si>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</si>
  <si>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Товар</t>
  </si>
  <si>
    <t>Цена (руб.)</t>
  </si>
  <si>
    <t>Продано (шт.)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</si>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</sst>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1" fillId="2" borderId="1" xfId="0" applyFont="1" applyFill="1" applyBorder="1"/>
    <xf numFmtId="1" fontId="1" fillId="2" borderId="1" xfId="0" applyNumberFormat="1" applyFont="1" applyFill="1" applyBorder="1"/>
    <xf numFmtId="0" fontId="0" fillId="0" borderId="1" xfId="0" applyBorder="1"/>
    <xf numFmtId="1" fontId="0" fillId="0" borderId="1" xfId="0" applyNumberFormat="1" applyBorder="1"/>
    <xf numFmtId="44" fontId="0" fillId="0" borderId="0" xfId="0" applyNumberFormat="1"/>
    <xf numFmtId="44" fontId="0" fillId="0" borderId="1" xfId="0" applyNumberFormat="1" applyBorder="1"/>
    <xf numFmtId="44" fontId="1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I2" sqref="I2"/>
    </sheetView>
  </sheetViews>
  <sheetFormatPr defaultRowHeight="14.4" x14ac:dyDescent="0.3"/>
  <cols>
    <col min="1" max="1" width="3" bestFit="1" customWidth="1"/>
    <col min="2" max="2" width="14.88671875" bestFit="1" customWidth="1"/>
    <col min="3" max="3" width="11.5546875" style="2" bestFit="1" customWidth="1"/>
    <col min="4" max="4" width="15.88671875" style="2" bestFit="1" customWidth="1"/>
    <col min="5" max="5" width="14" style="2" bestFit="1" customWidth="1"/>
    <col min="6" max="6" width="13.44140625" bestFit="1" customWidth="1"/>
    <col min="7" max="7" width="13.21875" bestFit="1" customWidth="1"/>
    <col min="8" max="8" width="7.44140625" bestFit="1" customWidth="1"/>
  </cols>
  <sheetData>
    <row r="1" spans="1:9" s="1" customFormat="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5">
        <v>1</v>
      </c>
      <c r="B2" s="5" t="s">
        <v>9</v>
      </c>
      <c r="C2" s="6">
        <v>85</v>
      </c>
      <c r="D2" s="6">
        <v>78</v>
      </c>
      <c r="E2" s="6">
        <v>92</v>
      </c>
      <c r="F2" s="6">
        <f>SUM(C2:E2)</f>
        <v>255</v>
      </c>
      <c r="G2" s="6">
        <f>AVERAGE(C2:E2)</f>
        <v>85</v>
      </c>
      <c r="H2" s="5" t="str">
        <f>IF(G2&gt;=85, "5", IF(G2&gt;=70, "4", IF(G2&gt;=50, "3", "2")))</f>
        <v>5</v>
      </c>
      <c r="I2" s="5" t="e">
        <f>RANK(H2,$H$2:$H$16)</f>
        <v>#N/A</v>
      </c>
    </row>
    <row r="3" spans="1:9" x14ac:dyDescent="0.3">
      <c r="A3" s="5">
        <v>2</v>
      </c>
      <c r="B3" s="5" t="s">
        <v>10</v>
      </c>
      <c r="C3" s="6">
        <v>72</v>
      </c>
      <c r="D3" s="6">
        <v>65</v>
      </c>
      <c r="E3" s="6">
        <v>80</v>
      </c>
      <c r="F3" s="6">
        <f t="shared" ref="F3:F16" si="0">SUM(C3:E3)</f>
        <v>217</v>
      </c>
      <c r="G3" s="6">
        <f t="shared" ref="G3:G16" si="1">AVERAGE(C3:E3)</f>
        <v>72.333333333333329</v>
      </c>
      <c r="H3" s="5" t="str">
        <f t="shared" ref="H3:H16" si="2">IF(G3&gt;=85, "5", IF(G3&gt;=70, "4", IF(G3&gt;=50, "3", "2")))</f>
        <v>4</v>
      </c>
      <c r="I3" s="5"/>
    </row>
    <row r="4" spans="1:9" x14ac:dyDescent="0.3">
      <c r="A4" s="5">
        <v>3</v>
      </c>
      <c r="B4" s="5" t="s">
        <v>11</v>
      </c>
      <c r="C4" s="6">
        <v>95</v>
      </c>
      <c r="D4" s="6">
        <v>88</v>
      </c>
      <c r="E4" s="6">
        <v>98</v>
      </c>
      <c r="F4" s="6">
        <f t="shared" si="0"/>
        <v>281</v>
      </c>
      <c r="G4" s="6">
        <f t="shared" si="1"/>
        <v>93.666666666666671</v>
      </c>
      <c r="H4" s="5" t="str">
        <f t="shared" si="2"/>
        <v>5</v>
      </c>
      <c r="I4" s="5"/>
    </row>
    <row r="5" spans="1:9" x14ac:dyDescent="0.3">
      <c r="A5" s="5">
        <v>4</v>
      </c>
      <c r="B5" s="5" t="s">
        <v>12</v>
      </c>
      <c r="C5" s="6">
        <v>65</v>
      </c>
      <c r="D5" s="6">
        <v>55</v>
      </c>
      <c r="E5" s="6">
        <v>70</v>
      </c>
      <c r="F5" s="6">
        <f t="shared" si="0"/>
        <v>190</v>
      </c>
      <c r="G5" s="6">
        <f t="shared" si="1"/>
        <v>63.333333333333336</v>
      </c>
      <c r="H5" s="5" t="str">
        <f t="shared" si="2"/>
        <v>3</v>
      </c>
      <c r="I5" s="5"/>
    </row>
    <row r="6" spans="1:9" x14ac:dyDescent="0.3">
      <c r="A6" s="5">
        <v>5</v>
      </c>
      <c r="B6" s="5" t="s">
        <v>13</v>
      </c>
      <c r="C6" s="6">
        <v>78</v>
      </c>
      <c r="D6" s="6">
        <v>82</v>
      </c>
      <c r="E6" s="6">
        <v>85</v>
      </c>
      <c r="F6" s="6">
        <f t="shared" si="0"/>
        <v>245</v>
      </c>
      <c r="G6" s="6">
        <f t="shared" si="1"/>
        <v>81.666666666666671</v>
      </c>
      <c r="H6" s="5" t="str">
        <f t="shared" si="2"/>
        <v>4</v>
      </c>
      <c r="I6" s="5"/>
    </row>
    <row r="7" spans="1:9" x14ac:dyDescent="0.3">
      <c r="A7" s="5">
        <v>6</v>
      </c>
      <c r="B7" s="5" t="s">
        <v>14</v>
      </c>
      <c r="C7" s="6">
        <v>88</v>
      </c>
      <c r="D7" s="6">
        <v>90</v>
      </c>
      <c r="E7" s="6">
        <v>95</v>
      </c>
      <c r="F7" s="6">
        <f t="shared" si="0"/>
        <v>273</v>
      </c>
      <c r="G7" s="6">
        <f t="shared" si="1"/>
        <v>91</v>
      </c>
      <c r="H7" s="5" t="str">
        <f t="shared" si="2"/>
        <v>5</v>
      </c>
      <c r="I7" s="5"/>
    </row>
    <row r="8" spans="1:9" x14ac:dyDescent="0.3">
      <c r="A8" s="5">
        <v>7</v>
      </c>
      <c r="B8" s="5" t="s">
        <v>15</v>
      </c>
      <c r="C8" s="6">
        <v>65</v>
      </c>
      <c r="D8" s="6">
        <v>70</v>
      </c>
      <c r="E8" s="6">
        <v>68</v>
      </c>
      <c r="F8" s="6">
        <f t="shared" si="0"/>
        <v>203</v>
      </c>
      <c r="G8" s="6">
        <f t="shared" si="1"/>
        <v>67.666666666666671</v>
      </c>
      <c r="H8" s="5" t="str">
        <f t="shared" si="2"/>
        <v>3</v>
      </c>
      <c r="I8" s="5"/>
    </row>
    <row r="9" spans="1:9" x14ac:dyDescent="0.3">
      <c r="A9" s="5">
        <v>8</v>
      </c>
      <c r="B9" s="5" t="s">
        <v>16</v>
      </c>
      <c r="C9" s="6">
        <v>92</v>
      </c>
      <c r="D9" s="6">
        <v>85</v>
      </c>
      <c r="E9" s="6">
        <v>88</v>
      </c>
      <c r="F9" s="6">
        <f t="shared" si="0"/>
        <v>265</v>
      </c>
      <c r="G9" s="6">
        <f t="shared" si="1"/>
        <v>88.333333333333329</v>
      </c>
      <c r="H9" s="5" t="str">
        <f t="shared" si="2"/>
        <v>5</v>
      </c>
      <c r="I9" s="5"/>
    </row>
    <row r="10" spans="1:9" x14ac:dyDescent="0.3">
      <c r="A10" s="5">
        <v>9</v>
      </c>
      <c r="B10" s="5" t="s">
        <v>17</v>
      </c>
      <c r="C10" s="6">
        <v>55</v>
      </c>
      <c r="D10" s="6">
        <v>60</v>
      </c>
      <c r="E10" s="6">
        <v>58</v>
      </c>
      <c r="F10" s="6">
        <f t="shared" si="0"/>
        <v>173</v>
      </c>
      <c r="G10" s="6">
        <f t="shared" si="1"/>
        <v>57.666666666666664</v>
      </c>
      <c r="H10" s="5" t="str">
        <f t="shared" si="2"/>
        <v>3</v>
      </c>
      <c r="I10" s="5"/>
    </row>
    <row r="11" spans="1:9" x14ac:dyDescent="0.3">
      <c r="A11" s="5">
        <v>10</v>
      </c>
      <c r="B11" s="5" t="s">
        <v>18</v>
      </c>
      <c r="C11" s="6">
        <v>80</v>
      </c>
      <c r="D11" s="6">
        <v>75</v>
      </c>
      <c r="E11" s="6">
        <v>82</v>
      </c>
      <c r="F11" s="6">
        <f t="shared" si="0"/>
        <v>237</v>
      </c>
      <c r="G11" s="6">
        <f t="shared" si="1"/>
        <v>79</v>
      </c>
      <c r="H11" s="5" t="str">
        <f t="shared" si="2"/>
        <v>4</v>
      </c>
      <c r="I11" s="5"/>
    </row>
    <row r="12" spans="1:9" x14ac:dyDescent="0.3">
      <c r="A12" s="5">
        <v>11</v>
      </c>
      <c r="B12" s="5" t="s">
        <v>19</v>
      </c>
      <c r="C12" s="6">
        <v>70</v>
      </c>
      <c r="D12" s="6">
        <v>68</v>
      </c>
      <c r="E12" s="6">
        <v>72</v>
      </c>
      <c r="F12" s="6">
        <f t="shared" si="0"/>
        <v>210</v>
      </c>
      <c r="G12" s="6">
        <f t="shared" si="1"/>
        <v>70</v>
      </c>
      <c r="H12" s="5" t="str">
        <f t="shared" si="2"/>
        <v>4</v>
      </c>
      <c r="I12" s="5"/>
    </row>
    <row r="13" spans="1:9" x14ac:dyDescent="0.3">
      <c r="A13" s="5">
        <v>12</v>
      </c>
      <c r="B13" s="5" t="s">
        <v>20</v>
      </c>
      <c r="C13" s="6">
        <v>90</v>
      </c>
      <c r="D13" s="6">
        <v>92</v>
      </c>
      <c r="E13" s="6">
        <v>94</v>
      </c>
      <c r="F13" s="6">
        <f t="shared" si="0"/>
        <v>276</v>
      </c>
      <c r="G13" s="6">
        <f t="shared" si="1"/>
        <v>92</v>
      </c>
      <c r="H13" s="5" t="str">
        <f t="shared" si="2"/>
        <v>5</v>
      </c>
      <c r="I13" s="5"/>
    </row>
    <row r="14" spans="1:9" x14ac:dyDescent="0.3">
      <c r="A14" s="5">
        <v>13</v>
      </c>
      <c r="B14" s="5" t="s">
        <v>21</v>
      </c>
      <c r="C14" s="6">
        <v>75</v>
      </c>
      <c r="D14" s="6">
        <v>78</v>
      </c>
      <c r="E14" s="6">
        <v>80</v>
      </c>
      <c r="F14" s="6">
        <f t="shared" si="0"/>
        <v>233</v>
      </c>
      <c r="G14" s="6">
        <f t="shared" si="1"/>
        <v>77.666666666666671</v>
      </c>
      <c r="H14" s="5" t="str">
        <f t="shared" si="2"/>
        <v>4</v>
      </c>
      <c r="I14" s="5"/>
    </row>
    <row r="15" spans="1:9" x14ac:dyDescent="0.3">
      <c r="A15" s="5">
        <v>14</v>
      </c>
      <c r="B15" s="5" t="s">
        <v>22</v>
      </c>
      <c r="C15" s="6">
        <v>62</v>
      </c>
      <c r="D15" s="6">
        <v>58</v>
      </c>
      <c r="E15" s="6">
        <v>65</v>
      </c>
      <c r="F15" s="6">
        <f t="shared" si="0"/>
        <v>185</v>
      </c>
      <c r="G15" s="6">
        <f t="shared" si="1"/>
        <v>61.666666666666664</v>
      </c>
      <c r="H15" s="5" t="str">
        <f t="shared" si="2"/>
        <v>3</v>
      </c>
      <c r="I15" s="5"/>
    </row>
    <row r="16" spans="1:9" x14ac:dyDescent="0.3">
      <c r="A16" s="5">
        <v>15</v>
      </c>
      <c r="B16" s="5" t="s">
        <v>23</v>
      </c>
      <c r="C16" s="6">
        <v>98</v>
      </c>
      <c r="D16" s="6">
        <v>95</v>
      </c>
      <c r="E16" s="6">
        <v>100</v>
      </c>
      <c r="F16" s="6">
        <f t="shared" si="0"/>
        <v>293</v>
      </c>
      <c r="G16" s="6">
        <f t="shared" si="1"/>
        <v>97.666666666666671</v>
      </c>
      <c r="H16" s="5" t="str">
        <f t="shared" si="2"/>
        <v>5</v>
      </c>
      <c r="I1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G1" sqref="G1"/>
    </sheetView>
  </sheetViews>
  <sheetFormatPr defaultRowHeight="14.4" x14ac:dyDescent="0.3"/>
  <cols>
    <col min="1" max="1" width="3" bestFit="1" customWidth="1"/>
    <col min="2" max="2" width="16.5546875" bestFit="1" customWidth="1"/>
    <col min="3" max="3" width="11.6640625" style="7" bestFit="1" customWidth="1"/>
    <col min="4" max="4" width="13.109375" bestFit="1" customWidth="1"/>
    <col min="6" max="6" width="9.77734375" bestFit="1" customWidth="1"/>
  </cols>
  <sheetData>
    <row r="1" spans="1:6" s="1" customFormat="1" ht="13.8" customHeight="1" x14ac:dyDescent="0.3">
      <c r="A1" s="3" t="s">
        <v>0</v>
      </c>
      <c r="B1" s="3" t="s">
        <v>24</v>
      </c>
      <c r="C1" s="9" t="s">
        <v>25</v>
      </c>
      <c r="D1" s="3" t="s">
        <v>26</v>
      </c>
      <c r="E1" s="3" t="s">
        <v>27</v>
      </c>
      <c r="F1" s="3" t="s">
        <v>28</v>
      </c>
    </row>
    <row r="2" spans="1:6" x14ac:dyDescent="0.3">
      <c r="A2" s="5">
        <v>1</v>
      </c>
      <c r="B2" s="5" t="s">
        <v>29</v>
      </c>
      <c r="C2" s="8">
        <v>45000</v>
      </c>
      <c r="D2" s="5">
        <v>12</v>
      </c>
      <c r="E2" s="5">
        <f>D2*C2</f>
        <v>540000</v>
      </c>
      <c r="F2" s="5" t="str">
        <f>IF(E2&gt;100000," топ",IF(E2&gt;50000,"Средний","Низкий"))</f>
        <v xml:space="preserve"> топ</v>
      </c>
    </row>
    <row r="3" spans="1:6" x14ac:dyDescent="0.3">
      <c r="A3" s="5">
        <v>2</v>
      </c>
      <c r="B3" s="5" t="s">
        <v>30</v>
      </c>
      <c r="C3" s="8">
        <v>18000</v>
      </c>
      <c r="D3" s="5">
        <v>25</v>
      </c>
      <c r="E3" s="5">
        <f t="shared" ref="E3:E16" si="0">D3*C3</f>
        <v>450000</v>
      </c>
      <c r="F3" s="5" t="str">
        <f t="shared" ref="F3:F16" si="1">IF(E3&gt;100000," топ",IF(E3&gt;50000,"Средний","Низкий"))</f>
        <v xml:space="preserve"> топ</v>
      </c>
    </row>
    <row r="4" spans="1:6" x14ac:dyDescent="0.3">
      <c r="A4" s="5">
        <v>3</v>
      </c>
      <c r="B4" s="5" t="s">
        <v>31</v>
      </c>
      <c r="C4" s="8">
        <v>1500</v>
      </c>
      <c r="D4" s="5">
        <v>60</v>
      </c>
      <c r="E4" s="5">
        <f t="shared" si="0"/>
        <v>90000</v>
      </c>
      <c r="F4" s="5" t="str">
        <f t="shared" si="1"/>
        <v>Средний</v>
      </c>
    </row>
    <row r="5" spans="1:6" x14ac:dyDescent="0.3">
      <c r="A5" s="5">
        <v>4</v>
      </c>
      <c r="B5" s="5" t="s">
        <v>32</v>
      </c>
      <c r="C5" s="8">
        <v>800</v>
      </c>
      <c r="D5" s="5">
        <v>85</v>
      </c>
      <c r="E5" s="5">
        <f t="shared" si="0"/>
        <v>68000</v>
      </c>
      <c r="F5" s="5" t="str">
        <f t="shared" si="1"/>
        <v>Средний</v>
      </c>
    </row>
    <row r="6" spans="1:6" x14ac:dyDescent="0.3">
      <c r="A6" s="5">
        <v>5</v>
      </c>
      <c r="B6" s="5" t="s">
        <v>33</v>
      </c>
      <c r="C6" s="8">
        <v>12000</v>
      </c>
      <c r="D6" s="5">
        <v>8</v>
      </c>
      <c r="E6" s="5">
        <f t="shared" si="0"/>
        <v>96000</v>
      </c>
      <c r="F6" s="5" t="str">
        <f t="shared" si="1"/>
        <v>Средний</v>
      </c>
    </row>
    <row r="7" spans="1:6" x14ac:dyDescent="0.3">
      <c r="A7" s="5">
        <v>6</v>
      </c>
      <c r="B7" s="5" t="s">
        <v>34</v>
      </c>
      <c r="C7" s="8">
        <v>9000</v>
      </c>
      <c r="D7" s="5">
        <v>6</v>
      </c>
      <c r="E7" s="5">
        <f t="shared" si="0"/>
        <v>54000</v>
      </c>
      <c r="F7" s="5" t="str">
        <f t="shared" si="1"/>
        <v>Средний</v>
      </c>
    </row>
    <row r="8" spans="1:6" x14ac:dyDescent="0.3">
      <c r="A8" s="5">
        <v>7</v>
      </c>
      <c r="B8" s="5" t="s">
        <v>35</v>
      </c>
      <c r="C8" s="8">
        <v>600</v>
      </c>
      <c r="D8" s="5">
        <v>120</v>
      </c>
      <c r="E8" s="5">
        <f t="shared" si="0"/>
        <v>72000</v>
      </c>
      <c r="F8" s="5" t="str">
        <f t="shared" si="1"/>
        <v>Средний</v>
      </c>
    </row>
    <row r="9" spans="1:6" x14ac:dyDescent="0.3">
      <c r="A9" s="5">
        <v>8</v>
      </c>
      <c r="B9" s="5" t="s">
        <v>36</v>
      </c>
      <c r="C9" s="8">
        <v>5500</v>
      </c>
      <c r="D9" s="5">
        <v>15</v>
      </c>
      <c r="E9" s="5">
        <f t="shared" si="0"/>
        <v>82500</v>
      </c>
      <c r="F9" s="5" t="str">
        <f t="shared" si="1"/>
        <v>Средний</v>
      </c>
    </row>
    <row r="10" spans="1:6" x14ac:dyDescent="0.3">
      <c r="A10" s="5">
        <v>9</v>
      </c>
      <c r="B10" s="5" t="s">
        <v>37</v>
      </c>
      <c r="C10" s="8">
        <v>2800</v>
      </c>
      <c r="D10" s="5">
        <v>22</v>
      </c>
      <c r="E10" s="5">
        <f t="shared" si="0"/>
        <v>61600</v>
      </c>
      <c r="F10" s="5" t="str">
        <f t="shared" si="1"/>
        <v>Средний</v>
      </c>
    </row>
    <row r="11" spans="1:6" x14ac:dyDescent="0.3">
      <c r="A11" s="5">
        <v>10</v>
      </c>
      <c r="B11" s="5" t="s">
        <v>38</v>
      </c>
      <c r="C11" s="8">
        <v>3200</v>
      </c>
      <c r="D11" s="5">
        <v>35</v>
      </c>
      <c r="E11" s="5">
        <f t="shared" si="0"/>
        <v>112000</v>
      </c>
      <c r="F11" s="5" t="str">
        <f t="shared" si="1"/>
        <v xml:space="preserve"> топ</v>
      </c>
    </row>
    <row r="12" spans="1:6" x14ac:dyDescent="0.3">
      <c r="A12" s="5">
        <v>11</v>
      </c>
      <c r="B12" s="5" t="s">
        <v>39</v>
      </c>
      <c r="C12" s="8">
        <v>400</v>
      </c>
      <c r="D12" s="5">
        <v>90</v>
      </c>
      <c r="E12" s="5">
        <f t="shared" si="0"/>
        <v>36000</v>
      </c>
      <c r="F12" s="5" t="str">
        <f t="shared" si="1"/>
        <v>Низкий</v>
      </c>
    </row>
    <row r="13" spans="1:6" x14ac:dyDescent="0.3">
      <c r="A13" s="5">
        <v>12</v>
      </c>
      <c r="B13" s="5" t="s">
        <v>40</v>
      </c>
      <c r="C13" s="8">
        <v>1200</v>
      </c>
      <c r="D13" s="5">
        <v>40</v>
      </c>
      <c r="E13" s="5">
        <f t="shared" si="0"/>
        <v>48000</v>
      </c>
      <c r="F13" s="5" t="str">
        <f t="shared" si="1"/>
        <v>Низкий</v>
      </c>
    </row>
    <row r="14" spans="1:6" x14ac:dyDescent="0.3">
      <c r="A14" s="5">
        <v>13</v>
      </c>
      <c r="B14" s="5" t="s">
        <v>41</v>
      </c>
      <c r="C14" s="8">
        <v>2500</v>
      </c>
      <c r="D14" s="5">
        <v>18</v>
      </c>
      <c r="E14" s="5">
        <f t="shared" si="0"/>
        <v>45000</v>
      </c>
      <c r="F14" s="5" t="str">
        <f t="shared" si="1"/>
        <v>Низкий</v>
      </c>
    </row>
    <row r="15" spans="1:6" x14ac:dyDescent="0.3">
      <c r="A15" s="5">
        <v>14</v>
      </c>
      <c r="B15" s="5" t="s">
        <v>42</v>
      </c>
      <c r="C15" s="8">
        <v>350</v>
      </c>
      <c r="D15" s="5">
        <v>200</v>
      </c>
      <c r="E15" s="5">
        <f t="shared" si="0"/>
        <v>70000</v>
      </c>
      <c r="F15" s="5" t="str">
        <f t="shared" si="1"/>
        <v>Средний</v>
      </c>
    </row>
    <row r="16" spans="1:6" x14ac:dyDescent="0.3">
      <c r="A16" s="5">
        <v>15</v>
      </c>
      <c r="B16" s="5" t="s">
        <v>43</v>
      </c>
      <c r="C16" s="8">
        <v>4500</v>
      </c>
      <c r="D16" s="5">
        <v>14</v>
      </c>
      <c r="E16" s="5">
        <f t="shared" si="0"/>
        <v>63000</v>
      </c>
      <c r="F16" s="5" t="str">
        <f t="shared" si="1"/>
        <v>Средний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2026-09-30T07:38:41Z</dcterms:modified>
</cp:coreProperties>
</file>